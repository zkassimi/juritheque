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é de travaux" sheetId="1" r:id="rId4"/>
    <sheet state="visible" name="Marché de Fournitures et Sce" sheetId="2" r:id="rId5"/>
    <sheet state="visible" name="Marché Gardiennage" sheetId="3" r:id="rId6"/>
    <sheet state="visible" name="Marché détude" sheetId="4" r:id="rId7"/>
  </sheets>
  <definedNames/>
  <calcPr/>
  <extLst>
    <ext uri="GoogleSheetsCustomDataVersion2">
      <go:sheetsCustomData xmlns:go="http://customooxmlschemas.google.com/" r:id="rId8" roundtripDataChecksum="JCIzKS2rCGERfZkCPG0JTVXeuzq+nM/tdsYmcScb2O4="/>
    </ext>
  </extLst>
</workbook>
</file>

<file path=xl/sharedStrings.xml><?xml version="1.0" encoding="utf-8"?>
<sst xmlns="http://schemas.openxmlformats.org/spreadsheetml/2006/main" count="64" uniqueCount="32">
  <si>
    <t>Marché de Travaux</t>
  </si>
  <si>
    <t>Concurrent</t>
  </si>
  <si>
    <t>Montant offre</t>
  </si>
  <si>
    <t>Seuil offre excessive (+20 %)</t>
  </si>
  <si>
    <t>Concurrent 1</t>
  </si>
  <si>
    <t>Concurrent 2</t>
  </si>
  <si>
    <t>Concurrent 3</t>
  </si>
  <si>
    <t>Estimation MO :</t>
  </si>
  <si>
    <t>Concurrent 4</t>
  </si>
  <si>
    <t>Concurrent 5</t>
  </si>
  <si>
    <t>Seuil offre anormalement basse (-20%)</t>
  </si>
  <si>
    <t>Somme OF acceptées</t>
  </si>
  <si>
    <t>Résultat :</t>
  </si>
  <si>
    <t>Prix de référence :</t>
  </si>
  <si>
    <r>
      <rPr>
        <rFont val="Calibri"/>
        <b/>
        <color theme="1"/>
        <sz val="12.0"/>
      </rPr>
      <t>Le concurrent n° 3 est le mieux disant "</t>
    </r>
    <r>
      <rPr>
        <rFont val="Calibri"/>
        <b/>
        <color rgb="FFFF0000"/>
        <sz val="12.0"/>
      </rPr>
      <t>par défaut</t>
    </r>
    <r>
      <rPr>
        <rFont val="Calibri"/>
        <b/>
        <color theme="1"/>
        <sz val="12.0"/>
      </rPr>
      <t>" (en partant du prix de référence vert le bas)</t>
    </r>
  </si>
  <si>
    <r>
      <rPr>
        <rFont val="Calibri"/>
        <b/>
        <color theme="1"/>
        <sz val="11.0"/>
      </rPr>
      <t>Marché de Fournitures et services (</t>
    </r>
    <r>
      <rPr>
        <rFont val="Calibri"/>
        <b/>
        <color rgb="FFFF0000"/>
        <sz val="11.0"/>
      </rPr>
      <t>autres que Etude</t>
    </r>
    <r>
      <rPr>
        <rFont val="Calibri"/>
        <b/>
        <color theme="1"/>
        <sz val="11.0"/>
      </rPr>
      <t>)</t>
    </r>
  </si>
  <si>
    <t>Seuil offre anormalement basse (-25%)</t>
  </si>
  <si>
    <r>
      <rPr>
        <rFont val="Calibri"/>
        <b/>
        <color theme="1"/>
        <sz val="12.0"/>
      </rPr>
      <t>Le concurrent n° 2 est le mieux disant "</t>
    </r>
    <r>
      <rPr>
        <rFont val="Calibri"/>
        <b/>
        <color rgb="FFFF0000"/>
        <sz val="12.0"/>
      </rPr>
      <t>par excès</t>
    </r>
    <r>
      <rPr>
        <rFont val="Calibri"/>
        <b/>
        <color theme="1"/>
        <sz val="12.0"/>
      </rPr>
      <t>" (en partant du prix de référence vers le haut)</t>
    </r>
  </si>
  <si>
    <r>
      <rPr>
        <rFont val="Calibri"/>
        <b/>
        <color theme="1"/>
        <sz val="11.0"/>
      </rPr>
      <t>Marché de Gardiennage (</t>
    </r>
    <r>
      <rPr>
        <rFont val="Calibri"/>
        <b/>
        <color rgb="FFFF0000"/>
        <sz val="11.0"/>
      </rPr>
      <t>cas spécial</t>
    </r>
    <r>
      <rPr>
        <rFont val="Calibri"/>
        <b/>
        <color theme="1"/>
        <sz val="11.0"/>
      </rPr>
      <t>)</t>
    </r>
  </si>
  <si>
    <t>Taux de Majoration</t>
  </si>
  <si>
    <r>
      <rPr>
        <rFont val="Calibri"/>
        <b/>
        <color theme="1"/>
        <sz val="12.0"/>
      </rPr>
      <t>Le concurrent n° 3 est le mieux disant "</t>
    </r>
    <r>
      <rPr>
        <rFont val="Calibri"/>
        <b/>
        <color rgb="FFFF0000"/>
        <sz val="12.0"/>
      </rPr>
      <t>avec le taux de majoration le plus bas acceptable</t>
    </r>
    <r>
      <rPr>
        <rFont val="Calibri"/>
        <b/>
        <color theme="1"/>
        <sz val="12.0"/>
      </rPr>
      <t>".</t>
    </r>
  </si>
  <si>
    <t>Marché d'étude</t>
  </si>
  <si>
    <t>Notes Techniques</t>
  </si>
  <si>
    <t>Notes Financières</t>
  </si>
  <si>
    <t>Notes Golables</t>
  </si>
  <si>
    <t>Seuil note technique</t>
  </si>
  <si>
    <t>Note inversement proportionnelle :</t>
  </si>
  <si>
    <t>NG = 70% NT + 30% NF</t>
  </si>
  <si>
    <t>Offre Financière moins disante</t>
  </si>
  <si>
    <t>x 100</t>
  </si>
  <si>
    <t>Offre Financière X</t>
  </si>
  <si>
    <r>
      <rPr>
        <rFont val="Calibri"/>
        <b/>
        <color theme="1"/>
        <sz val="12.0"/>
      </rPr>
      <t xml:space="preserve">Le concurrent n° 3 est le mieux disant </t>
    </r>
    <r>
      <rPr>
        <rFont val="Calibri"/>
        <b/>
        <color rgb="FFFF0000"/>
        <sz val="12.0"/>
      </rPr>
      <t>puisqu'il a obtenu la note globale la plus élevée</t>
    </r>
    <r>
      <rPr>
        <rFont val="Calibri"/>
        <b/>
        <color theme="1"/>
        <sz val="12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</si>
</sst>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3" fontId="1" numFmtId="0" xfId="0" applyBorder="1" applyFill="1" applyFont="1"/>
    <xf borderId="4" fillId="4" fontId="3" numFmtId="0" xfId="0" applyAlignment="1" applyBorder="1" applyFill="1" applyFont="1">
      <alignment horizontal="center"/>
    </xf>
    <xf borderId="4" fillId="4" fontId="1" numFmtId="4" xfId="0" applyBorder="1" applyFont="1" applyNumberFormat="1"/>
    <xf borderId="5" fillId="3" fontId="1" numFmtId="4" xfId="0" applyBorder="1" applyFont="1" applyNumberFormat="1"/>
    <xf borderId="4" fillId="0" fontId="1" numFmtId="4" xfId="0" applyBorder="1" applyFont="1" applyNumberFormat="1"/>
    <xf borderId="4" fillId="5" fontId="3" numFmtId="0" xfId="0" applyAlignment="1" applyBorder="1" applyFill="1" applyFont="1">
      <alignment horizontal="center"/>
    </xf>
    <xf borderId="4" fillId="5" fontId="1" numFmtId="4" xfId="0" applyBorder="1" applyFont="1" applyNumberFormat="1"/>
    <xf borderId="5" fillId="6" fontId="1" numFmtId="0" xfId="0" applyBorder="1" applyFill="1" applyFont="1"/>
    <xf borderId="5" fillId="6" fontId="1" numFmtId="4" xfId="0" applyBorder="1" applyFont="1" applyNumberFormat="1"/>
    <xf borderId="0" fillId="0" fontId="3" numFmtId="0" xfId="0" applyAlignment="1" applyFont="1">
      <alignment horizontal="center"/>
    </xf>
    <xf borderId="0" fillId="0" fontId="1" numFmtId="4" xfId="0" applyFont="1" applyNumberFormat="1"/>
    <xf borderId="5" fillId="7" fontId="1" numFmtId="0" xfId="0" applyBorder="1" applyFill="1" applyFont="1"/>
    <xf borderId="5" fillId="7" fontId="1" numFmtId="4" xfId="0" applyBorder="1" applyFont="1" applyNumberFormat="1"/>
    <xf borderId="6" fillId="0" fontId="1" numFmtId="0" xfId="0" applyAlignment="1" applyBorder="1" applyFont="1">
      <alignment horizontal="left"/>
    </xf>
    <xf borderId="5" fillId="5" fontId="1" numFmtId="0" xfId="0" applyBorder="1" applyFont="1"/>
    <xf borderId="7" fillId="0" fontId="4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5" fillId="5" fontId="1" numFmtId="4" xfId="0" applyBorder="1" applyFont="1" applyNumberForma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1" numFmtId="164" xfId="0" applyBorder="1" applyFont="1" applyNumberFormat="1"/>
    <xf borderId="4" fillId="4" fontId="1" numFmtId="164" xfId="0" applyBorder="1" applyFont="1" applyNumberFormat="1"/>
    <xf borderId="4" fillId="5" fontId="1" numFmtId="164" xfId="0" applyBorder="1" applyFont="1" applyNumberFormat="1"/>
    <xf borderId="0" fillId="0" fontId="4" numFmtId="0" xfId="0" applyAlignment="1" applyFont="1">
      <alignment horizontal="left" shrinkToFit="0" vertical="top" wrapText="1"/>
    </xf>
    <xf borderId="0" fillId="0" fontId="5" numFmtId="0" xfId="0" applyFont="1"/>
    <xf borderId="4" fillId="0" fontId="3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/>
    </xf>
    <xf borderId="4" fillId="5" fontId="3" numFmtId="1" xfId="0" applyAlignment="1" applyBorder="1" applyFont="1" applyNumberFormat="1">
      <alignment horizontal="center"/>
    </xf>
    <xf borderId="4" fillId="5" fontId="3" numFmtId="2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1" numFmtId="0" xfId="0" applyFont="1"/>
    <xf borderId="13" fillId="0" fontId="1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readingOrder="0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2</xdr:row>
      <xdr:rowOff>180975</xdr:rowOff>
    </xdr:from>
    <xdr:ext cx="3581400" cy="2171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3581400" cy="2152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9</xdr:row>
      <xdr:rowOff>85725</xdr:rowOff>
    </xdr:from>
    <xdr:ext cx="2266950" cy="38100"/>
    <xdr:grpSp>
      <xdr:nvGrpSpPr>
        <xdr:cNvPr id="2" name="Shape 2"/>
        <xdr:cNvGrpSpPr/>
      </xdr:nvGrpSpPr>
      <xdr:grpSpPr>
        <a:xfrm>
          <a:off x="4212525" y="3770475"/>
          <a:ext cx="2266950" cy="19050"/>
          <a:chOff x="4212525" y="3770475"/>
          <a:chExt cx="2266950" cy="19050"/>
        </a:xfrm>
      </xdr:grpSpPr>
      <xdr:cxnSp>
        <xdr:nvCxnSpPr>
          <xdr:cNvPr id="3" name="Shape 3"/>
          <xdr:cNvCxnSpPr/>
        </xdr:nvCxnSpPr>
        <xdr:spPr>
          <a:xfrm>
            <a:off x="4212525" y="3770475"/>
            <a:ext cx="2266950" cy="19050"/>
          </a:xfrm>
          <a:prstGeom prst="straightConnector1">
            <a:avLst/>
          </a:prstGeom>
          <a:noFill/>
          <a:ln cap="flat" cmpd="sng" w="25400">
            <a:solidFill>
              <a:schemeClr val="accent6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142875</xdr:colOff>
      <xdr:row>10</xdr:row>
      <xdr:rowOff>123825</xdr:rowOff>
    </xdr:from>
    <xdr:ext cx="3857625" cy="28575"/>
    <xdr:grpSp>
      <xdr:nvGrpSpPr>
        <xdr:cNvPr id="2" name="Shape 2"/>
        <xdr:cNvGrpSpPr/>
      </xdr:nvGrpSpPr>
      <xdr:grpSpPr>
        <a:xfrm>
          <a:off x="3417188" y="3775238"/>
          <a:ext cx="3857625" cy="9525"/>
          <a:chOff x="3417188" y="3775238"/>
          <a:chExt cx="3857625" cy="9525"/>
        </a:xfrm>
      </xdr:grpSpPr>
      <xdr:cxnSp>
        <xdr:nvCxnSpPr>
          <xdr:cNvPr id="4" name="Shape 4"/>
          <xdr:cNvCxnSpPr/>
        </xdr:nvCxnSpPr>
        <xdr:spPr>
          <a:xfrm flipH="1" rot="10800000">
            <a:off x="3417188" y="3775238"/>
            <a:ext cx="3857625" cy="9525"/>
          </a:xfrm>
          <a:prstGeom prst="straightConnector1">
            <a:avLst/>
          </a:prstGeom>
          <a:noFill/>
          <a:ln cap="flat" cmpd="sng" w="25400">
            <a:solidFill>
              <a:schemeClr val="accent6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171450</xdr:colOff>
      <xdr:row>11</xdr:row>
      <xdr:rowOff>171450</xdr:rowOff>
    </xdr:from>
    <xdr:ext cx="895350" cy="28575"/>
    <xdr:grpSp>
      <xdr:nvGrpSpPr>
        <xdr:cNvPr id="2" name="Shape 2"/>
        <xdr:cNvGrpSpPr/>
      </xdr:nvGrpSpPr>
      <xdr:grpSpPr>
        <a:xfrm>
          <a:off x="4898325" y="3765713"/>
          <a:ext cx="895350" cy="28575"/>
          <a:chOff x="4898325" y="3765713"/>
          <a:chExt cx="895350" cy="28575"/>
        </a:xfrm>
      </xdr:grpSpPr>
      <xdr:cxnSp>
        <xdr:nvCxnSpPr>
          <xdr:cNvPr id="5" name="Shape 5"/>
          <xdr:cNvCxnSpPr/>
        </xdr:nvCxnSpPr>
        <xdr:spPr>
          <a:xfrm flipH="1" rot="10800000">
            <a:off x="4898325" y="3765713"/>
            <a:ext cx="895350" cy="28575"/>
          </a:xfrm>
          <a:prstGeom prst="straightConnector1">
            <a:avLst/>
          </a:prstGeom>
          <a:noFill/>
          <a:ln cap="flat" cmpd="sng" w="25400">
            <a:solidFill>
              <a:schemeClr val="accent6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171450</xdr:colOff>
      <xdr:row>1</xdr:row>
      <xdr:rowOff>0</xdr:rowOff>
    </xdr:from>
    <xdr:ext cx="3981450" cy="3162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11</xdr:row>
      <xdr:rowOff>57150</xdr:rowOff>
    </xdr:from>
    <xdr:ext cx="4591050" cy="2219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0"/>
    <col customWidth="1" min="3" max="3" width="22.14"/>
    <col customWidth="1" min="4" max="4" width="10.71"/>
    <col customWidth="1" min="5" max="5" width="35.29"/>
    <col customWidth="1" min="6" max="26" width="10.71"/>
  </cols>
  <sheetData>
    <row r="2">
      <c r="B2" s="1" t="s">
        <v>0</v>
      </c>
      <c r="C2" s="2"/>
      <c r="D2" s="2"/>
      <c r="E2" s="3"/>
    </row>
    <row r="4">
      <c r="B4" s="4" t="s">
        <v>1</v>
      </c>
      <c r="C4" s="4" t="s">
        <v>2</v>
      </c>
      <c r="E4" s="5" t="s">
        <v>3</v>
      </c>
    </row>
    <row r="5">
      <c r="B5" s="6" t="s">
        <v>4</v>
      </c>
      <c r="C5" s="7">
        <v>3652560.0</v>
      </c>
      <c r="E5" s="8">
        <f>E8*1.2</f>
        <v>7558588.8</v>
      </c>
    </row>
    <row r="6">
      <c r="B6" s="4" t="s">
        <v>5</v>
      </c>
      <c r="C6" s="9">
        <v>6255720.0</v>
      </c>
    </row>
    <row r="7">
      <c r="B7" s="10" t="s">
        <v>6</v>
      </c>
      <c r="C7" s="11">
        <v>6395400.0</v>
      </c>
      <c r="E7" s="12" t="s">
        <v>7</v>
      </c>
    </row>
    <row r="8">
      <c r="B8" s="4" t="s">
        <v>8</v>
      </c>
      <c r="C8" s="9">
        <v>7047480.0</v>
      </c>
      <c r="E8" s="13">
        <v>6298824.0</v>
      </c>
    </row>
    <row r="9">
      <c r="B9" s="6" t="s">
        <v>9</v>
      </c>
      <c r="C9" s="7">
        <v>7647481.0</v>
      </c>
    </row>
    <row r="10">
      <c r="B10" s="14"/>
      <c r="C10" s="15"/>
      <c r="E10" s="16" t="s">
        <v>10</v>
      </c>
    </row>
    <row r="11">
      <c r="B11" s="4" t="s">
        <v>11</v>
      </c>
      <c r="C11" s="9">
        <f>SUM(C6:C8)</f>
        <v>19698600</v>
      </c>
      <c r="E11" s="17">
        <f>E8*(1-0.2)</f>
        <v>5039059.2</v>
      </c>
    </row>
    <row r="13">
      <c r="B13" s="18" t="s">
        <v>12</v>
      </c>
      <c r="E13" s="19" t="s">
        <v>13</v>
      </c>
    </row>
    <row r="14">
      <c r="B14" s="20" t="s">
        <v>14</v>
      </c>
      <c r="C14" s="21"/>
      <c r="E14" s="22">
        <f>(E8+(C11/3))/2</f>
        <v>6432512</v>
      </c>
    </row>
    <row r="15">
      <c r="B15" s="23"/>
      <c r="C15" s="24"/>
    </row>
    <row r="16">
      <c r="B16" s="25"/>
      <c r="C16" s="26"/>
    </row>
    <row r="19">
      <c r="F1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B14:C1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0"/>
    <col customWidth="1" min="3" max="3" width="22.14"/>
    <col customWidth="1" min="4" max="4" width="10.71"/>
    <col customWidth="1" min="5" max="5" width="35.29"/>
    <col customWidth="1" min="6" max="26" width="10.71"/>
  </cols>
  <sheetData>
    <row r="2">
      <c r="B2" s="1" t="s">
        <v>15</v>
      </c>
      <c r="C2" s="2"/>
      <c r="D2" s="2"/>
      <c r="E2" s="3"/>
    </row>
    <row r="4">
      <c r="B4" s="4" t="s">
        <v>1</v>
      </c>
      <c r="C4" s="4" t="s">
        <v>2</v>
      </c>
      <c r="E4" s="5" t="s">
        <v>3</v>
      </c>
    </row>
    <row r="5">
      <c r="B5" s="6" t="s">
        <v>4</v>
      </c>
      <c r="C5" s="7">
        <v>1400000.0</v>
      </c>
      <c r="E5" s="8">
        <f>E8*1.2</f>
        <v>2400000</v>
      </c>
    </row>
    <row r="6">
      <c r="B6" s="10" t="s">
        <v>5</v>
      </c>
      <c r="C6" s="11">
        <v>2100000.0</v>
      </c>
    </row>
    <row r="7">
      <c r="B7" s="4" t="s">
        <v>6</v>
      </c>
      <c r="C7" s="9">
        <v>2200000.0</v>
      </c>
      <c r="E7" s="12" t="s">
        <v>7</v>
      </c>
    </row>
    <row r="8">
      <c r="B8" s="6" t="s">
        <v>8</v>
      </c>
      <c r="C8" s="7">
        <v>2400300.0</v>
      </c>
      <c r="E8" s="13">
        <v>2000000.0</v>
      </c>
    </row>
    <row r="9">
      <c r="B9" s="14"/>
      <c r="C9" s="15"/>
    </row>
    <row r="10">
      <c r="B10" s="4" t="s">
        <v>11</v>
      </c>
      <c r="C10" s="9">
        <f>SUM(C6:C7)</f>
        <v>4300000</v>
      </c>
      <c r="E10" s="16" t="s">
        <v>16</v>
      </c>
    </row>
    <row r="11">
      <c r="E11" s="17">
        <f>E8*(1-0.25)</f>
        <v>1500000</v>
      </c>
    </row>
    <row r="12">
      <c r="B12" s="18" t="s">
        <v>12</v>
      </c>
    </row>
    <row r="13">
      <c r="B13" s="20" t="s">
        <v>17</v>
      </c>
      <c r="C13" s="21"/>
      <c r="E13" s="19" t="s">
        <v>13</v>
      </c>
    </row>
    <row r="14">
      <c r="B14" s="23"/>
      <c r="C14" s="24"/>
      <c r="E14" s="22">
        <f>(E8+(C10/2))/2</f>
        <v>2075000</v>
      </c>
    </row>
    <row r="15">
      <c r="B15" s="25"/>
      <c r="C15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B13:C1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4" width="22.14"/>
    <col customWidth="1" min="5" max="5" width="10.71"/>
    <col customWidth="1" min="6" max="6" width="35.29"/>
    <col customWidth="1" min="7" max="26" width="10.71"/>
  </cols>
  <sheetData>
    <row r="2">
      <c r="B2" s="1" t="s">
        <v>18</v>
      </c>
      <c r="C2" s="2"/>
      <c r="D2" s="2"/>
      <c r="E2" s="2"/>
      <c r="F2" s="3"/>
    </row>
    <row r="4">
      <c r="B4" s="4" t="s">
        <v>1</v>
      </c>
      <c r="C4" s="4" t="s">
        <v>19</v>
      </c>
      <c r="D4" s="14"/>
      <c r="F4" s="5" t="s">
        <v>3</v>
      </c>
    </row>
    <row r="5">
      <c r="B5" s="4" t="s">
        <v>4</v>
      </c>
      <c r="C5" s="27">
        <v>0.0</v>
      </c>
      <c r="D5" s="9">
        <f t="shared" ref="D5:D9" si="1">$F$8*(1+C5)</f>
        <v>1500000</v>
      </c>
      <c r="F5" s="8">
        <f>F8*1.2</f>
        <v>1800000</v>
      </c>
    </row>
    <row r="6">
      <c r="B6" s="6" t="s">
        <v>5</v>
      </c>
      <c r="C6" s="28">
        <v>0.06555</v>
      </c>
      <c r="D6" s="7">
        <f t="shared" si="1"/>
        <v>1598325</v>
      </c>
    </row>
    <row r="7">
      <c r="B7" s="10" t="s">
        <v>6</v>
      </c>
      <c r="C7" s="29">
        <v>0.0676</v>
      </c>
      <c r="D7" s="11">
        <f t="shared" si="1"/>
        <v>1601400</v>
      </c>
      <c r="F7" s="12" t="s">
        <v>7</v>
      </c>
    </row>
    <row r="8">
      <c r="B8" s="4" t="s">
        <v>8</v>
      </c>
      <c r="C8" s="27">
        <v>0.0725</v>
      </c>
      <c r="D8" s="9">
        <f t="shared" si="1"/>
        <v>1608750</v>
      </c>
      <c r="F8" s="13">
        <v>1500000.0</v>
      </c>
    </row>
    <row r="9">
      <c r="B9" s="6" t="s">
        <v>9</v>
      </c>
      <c r="C9" s="28">
        <v>0.08255</v>
      </c>
      <c r="D9" s="7">
        <f t="shared" si="1"/>
        <v>1623825</v>
      </c>
    </row>
    <row r="10">
      <c r="F10" s="16" t="s">
        <v>16</v>
      </c>
    </row>
    <row r="11">
      <c r="F11" s="17">
        <f>F8*(1-0.25)</f>
        <v>1125000</v>
      </c>
    </row>
    <row r="14">
      <c r="B14" s="18" t="s">
        <v>12</v>
      </c>
    </row>
    <row r="15">
      <c r="B15" s="20" t="s">
        <v>20</v>
      </c>
      <c r="C15" s="21"/>
      <c r="D15" s="30"/>
    </row>
    <row r="16">
      <c r="B16" s="23"/>
      <c r="C16" s="24"/>
      <c r="D16" s="30"/>
    </row>
    <row r="17">
      <c r="B17" s="25"/>
      <c r="C17" s="26"/>
      <c r="D17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15:C1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0.43"/>
    <col customWidth="1" min="3" max="3" width="14.57"/>
    <col customWidth="1" min="4" max="5" width="18.0"/>
    <col customWidth="1" min="6" max="6" width="29.57"/>
    <col customWidth="1" min="7" max="7" width="7.57"/>
    <col customWidth="1" min="8" max="8" width="36.0"/>
    <col customWidth="1" min="9" max="26" width="10.71"/>
  </cols>
  <sheetData>
    <row r="1">
      <c r="A1" s="31"/>
    </row>
    <row r="2">
      <c r="B2" s="1" t="s">
        <v>21</v>
      </c>
      <c r="C2" s="2"/>
      <c r="D2" s="2"/>
      <c r="E2" s="2"/>
      <c r="F2" s="2"/>
      <c r="G2" s="2"/>
      <c r="H2" s="3"/>
    </row>
    <row r="4">
      <c r="B4" s="32" t="s">
        <v>1</v>
      </c>
      <c r="C4" s="32" t="s">
        <v>22</v>
      </c>
      <c r="D4" s="32" t="s">
        <v>2</v>
      </c>
      <c r="E4" s="32" t="s">
        <v>23</v>
      </c>
      <c r="F4" s="32" t="s">
        <v>24</v>
      </c>
      <c r="H4" s="5" t="s">
        <v>3</v>
      </c>
    </row>
    <row r="5">
      <c r="B5" s="6" t="s">
        <v>4</v>
      </c>
      <c r="C5" s="6">
        <v>65.0</v>
      </c>
      <c r="D5" s="7">
        <v>4320000.0</v>
      </c>
      <c r="E5" s="6">
        <v>0.0</v>
      </c>
      <c r="F5" s="6">
        <v>0.0</v>
      </c>
      <c r="H5" s="8">
        <f>H8*1.2</f>
        <v>6000000</v>
      </c>
    </row>
    <row r="6">
      <c r="B6" s="4" t="s">
        <v>5</v>
      </c>
      <c r="C6" s="4">
        <v>73.0</v>
      </c>
      <c r="D6" s="9">
        <v>4500000.0</v>
      </c>
      <c r="E6" s="4">
        <v>100.0</v>
      </c>
      <c r="F6" s="33">
        <f t="shared" ref="F6:F9" si="1">(0.7*C6)+(0.3*E6)</f>
        <v>81.1</v>
      </c>
    </row>
    <row r="7">
      <c r="B7" s="10" t="s">
        <v>6</v>
      </c>
      <c r="C7" s="10">
        <v>90.0</v>
      </c>
      <c r="D7" s="11">
        <v>4700000.0</v>
      </c>
      <c r="E7" s="34">
        <f t="shared" ref="E7:E9" si="2">($D$6/D7)*100</f>
        <v>95.74468085</v>
      </c>
      <c r="F7" s="35">
        <f t="shared" si="1"/>
        <v>91.72340426</v>
      </c>
      <c r="H7" s="12" t="s">
        <v>7</v>
      </c>
    </row>
    <row r="8">
      <c r="B8" s="4" t="s">
        <v>8</v>
      </c>
      <c r="C8" s="4">
        <v>80.0</v>
      </c>
      <c r="D8" s="9">
        <v>5055000.0</v>
      </c>
      <c r="E8" s="36">
        <f t="shared" si="2"/>
        <v>89.02077151</v>
      </c>
      <c r="F8" s="33">
        <f t="shared" si="1"/>
        <v>82.70623145</v>
      </c>
      <c r="H8" s="13">
        <v>5000000.0</v>
      </c>
    </row>
    <row r="9">
      <c r="B9" s="4" t="s">
        <v>9</v>
      </c>
      <c r="C9" s="4">
        <v>85.0</v>
      </c>
      <c r="D9" s="9">
        <v>5250000.0</v>
      </c>
      <c r="E9" s="36">
        <f t="shared" si="2"/>
        <v>85.71428571</v>
      </c>
      <c r="F9" s="33">
        <f t="shared" si="1"/>
        <v>85.21428571</v>
      </c>
    </row>
    <row r="10">
      <c r="B10" s="14"/>
      <c r="C10" s="14"/>
      <c r="D10" s="15"/>
      <c r="E10" s="15"/>
      <c r="F10" s="15"/>
      <c r="H10" s="16" t="s">
        <v>16</v>
      </c>
    </row>
    <row r="11">
      <c r="H11" s="17">
        <f>H8*(1-0.25)</f>
        <v>3750000</v>
      </c>
    </row>
    <row r="12">
      <c r="B12" s="37" t="s">
        <v>25</v>
      </c>
      <c r="C12" s="37">
        <v>70.0</v>
      </c>
    </row>
    <row r="13">
      <c r="E13" s="38" t="s">
        <v>26</v>
      </c>
      <c r="F13" s="3"/>
    </row>
    <row r="14">
      <c r="B14" s="39" t="s">
        <v>27</v>
      </c>
    </row>
    <row r="15">
      <c r="F15" s="40" t="s">
        <v>28</v>
      </c>
      <c r="G15" s="41" t="s">
        <v>29</v>
      </c>
    </row>
    <row r="16">
      <c r="B16" s="18" t="s">
        <v>12</v>
      </c>
      <c r="F16" s="42" t="s">
        <v>30</v>
      </c>
    </row>
    <row r="17" ht="15.0" customHeight="1">
      <c r="B17" s="20" t="s">
        <v>31</v>
      </c>
      <c r="C17" s="43"/>
      <c r="D17" s="21"/>
    </row>
    <row r="18" ht="15.0" customHeight="1">
      <c r="B18" s="23"/>
      <c r="D18" s="24"/>
    </row>
    <row r="19" ht="15.75" customHeight="1">
      <c r="B19" s="25"/>
      <c r="C19" s="44"/>
      <c r="D19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E13:F13"/>
    <mergeCell ref="G15:G16"/>
    <mergeCell ref="B17:D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2017-08-10T09:47:48Z</dcterms:created>
  <dc:creator>tgr</dc:creator>
</cp:coreProperties>
</file>