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1266\Desktop\TD 2024 version finale\consultation architecturale\"/>
    </mc:Choice>
  </mc:AlternateContent>
  <xr:revisionPtr revIDLastSave="0" documentId="13_ncr:1_{5B7B99A2-5C53-4951-A950-CC8C187A0936}" xr6:coauthVersionLast="47" xr6:coauthVersionMax="47" xr10:uidLastSave="{00000000-0000-0000-0000-000000000000}"/>
  <bookViews>
    <workbookView xWindow="1536" yWindow="564" windowWidth="14100" windowHeight="11676" activeTab="1" xr2:uid="{00000000-000D-0000-FFFF-FFFF00000000}"/>
  </bookViews>
  <sheets>
    <sheet name="DA &amp; ES" sheetId="1" r:id="rId1"/>
    <sheet name="EXERCICE 1" sheetId="7" r:id="rId2"/>
    <sheet name="EXERCICE 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4" l="1"/>
  <c r="G23" i="4" s="1"/>
  <c r="C22" i="4"/>
  <c r="G22" i="4" s="1"/>
  <c r="G21" i="4"/>
  <c r="C21" i="4"/>
  <c r="C20" i="4"/>
  <c r="G20" i="4" s="1"/>
  <c r="C19" i="4"/>
  <c r="G19" i="4" s="1"/>
  <c r="I13" i="4"/>
  <c r="F23" i="4" s="1"/>
  <c r="F13" i="4"/>
  <c r="E23" i="4" s="1"/>
  <c r="I12" i="4"/>
  <c r="F22" i="4" s="1"/>
  <c r="F12" i="4"/>
  <c r="E22" i="4" s="1"/>
  <c r="I11" i="4"/>
  <c r="F21" i="4" s="1"/>
  <c r="F11" i="4"/>
  <c r="E21" i="4" s="1"/>
  <c r="I10" i="4"/>
  <c r="F20" i="4" s="1"/>
  <c r="F10" i="4"/>
  <c r="E20" i="4" s="1"/>
  <c r="I9" i="4"/>
  <c r="F19" i="4" s="1"/>
  <c r="F9" i="4"/>
  <c r="E19" i="4" s="1"/>
  <c r="C24" i="7"/>
  <c r="G24" i="7" s="1"/>
  <c r="C23" i="7"/>
  <c r="G23" i="7" s="1"/>
  <c r="C22" i="7"/>
  <c r="G22" i="7" s="1"/>
  <c r="C21" i="7"/>
  <c r="G21" i="7" s="1"/>
  <c r="C20" i="7"/>
  <c r="G20" i="7" s="1"/>
  <c r="I14" i="7"/>
  <c r="F14" i="7"/>
  <c r="I13" i="7"/>
  <c r="F24" i="7" s="1"/>
  <c r="F13" i="7"/>
  <c r="E24" i="7" s="1"/>
  <c r="I12" i="7"/>
  <c r="F23" i="7" s="1"/>
  <c r="F12" i="7"/>
  <c r="E23" i="7" s="1"/>
  <c r="I11" i="7"/>
  <c r="F22" i="7" s="1"/>
  <c r="F11" i="7"/>
  <c r="E22" i="7" s="1"/>
  <c r="I10" i="7"/>
  <c r="F21" i="7" s="1"/>
  <c r="F10" i="7"/>
  <c r="E21" i="7" s="1"/>
  <c r="I9" i="7"/>
  <c r="F20" i="7" s="1"/>
  <c r="F9" i="7"/>
  <c r="E20" i="7" s="1"/>
  <c r="H23" i="4" l="1"/>
  <c r="H21" i="7"/>
  <c r="H23" i="7"/>
  <c r="H20" i="4"/>
  <c r="H22" i="4"/>
  <c r="H19" i="4"/>
  <c r="H20" i="7"/>
  <c r="H22" i="7"/>
  <c r="H24" i="7"/>
  <c r="H21" i="4"/>
</calcChain>
</file>

<file path=xl/sharedStrings.xml><?xml version="1.0" encoding="utf-8"?>
<sst xmlns="http://schemas.openxmlformats.org/spreadsheetml/2006/main" count="183" uniqueCount="63">
  <si>
    <t>Candidats</t>
  </si>
  <si>
    <t>Montant</t>
  </si>
  <si>
    <t>Taux</t>
  </si>
  <si>
    <t>Note financière</t>
  </si>
  <si>
    <t>QP</t>
  </si>
  <si>
    <t>ND</t>
  </si>
  <si>
    <t>CP</t>
  </si>
  <si>
    <t>ES</t>
  </si>
  <si>
    <r>
      <t>Note technique N</t>
    </r>
    <r>
      <rPr>
        <b/>
        <vertAlign val="subscript"/>
        <sz val="10"/>
        <color theme="1"/>
        <rFont val="Calibri"/>
        <family val="2"/>
        <scheme val="minor"/>
      </rPr>
      <t>T</t>
    </r>
  </si>
  <si>
    <t>Note globale: N</t>
  </si>
  <si>
    <r>
      <t>Note ES N</t>
    </r>
    <r>
      <rPr>
        <b/>
        <vertAlign val="subscript"/>
        <sz val="10"/>
        <color theme="1"/>
        <rFont val="Calibri"/>
        <family val="2"/>
        <scheme val="minor"/>
      </rPr>
      <t>S</t>
    </r>
  </si>
  <si>
    <t>Estimation sommaire (sur 100 Pts)</t>
  </si>
  <si>
    <t>Proposition technique (sur 100 Pts)</t>
  </si>
  <si>
    <t>Proposition financière (sur 100 Pts)</t>
  </si>
  <si>
    <t>Classement</t>
  </si>
  <si>
    <r>
      <t>N</t>
    </r>
    <r>
      <rPr>
        <b/>
        <vertAlign val="subscript"/>
        <sz val="10"/>
        <color theme="1"/>
        <rFont val="Calibri"/>
        <family val="2"/>
        <scheme val="minor"/>
      </rPr>
      <t>T</t>
    </r>
  </si>
  <si>
    <r>
      <t>N</t>
    </r>
    <r>
      <rPr>
        <b/>
        <vertAlign val="subscript"/>
        <sz val="10"/>
        <color theme="1"/>
        <rFont val="Calibri"/>
        <family val="2"/>
        <scheme val="minor"/>
      </rPr>
      <t>S</t>
    </r>
  </si>
  <si>
    <r>
      <t>N</t>
    </r>
    <r>
      <rPr>
        <b/>
        <vertAlign val="subscript"/>
        <sz val="10"/>
        <color theme="1"/>
        <rFont val="Calibri"/>
        <family val="2"/>
        <scheme val="minor"/>
      </rPr>
      <t>F</t>
    </r>
  </si>
  <si>
    <r>
      <t>Evaluation globate: N = 0,7*N</t>
    </r>
    <r>
      <rPr>
        <b/>
        <vertAlign val="subscript"/>
        <sz val="11"/>
        <color theme="1"/>
        <rFont val="Calibri"/>
        <family val="2"/>
        <scheme val="minor"/>
      </rPr>
      <t>T</t>
    </r>
    <r>
      <rPr>
        <b/>
        <sz val="11"/>
        <color theme="1"/>
        <rFont val="Calibri"/>
        <family val="2"/>
        <scheme val="minor"/>
      </rPr>
      <t xml:space="preserve"> + 0,2*N</t>
    </r>
    <r>
      <rPr>
        <b/>
        <vertAlign val="subscript"/>
        <sz val="11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+ 0,1*N</t>
    </r>
    <r>
      <rPr>
        <b/>
        <vertAlign val="subscript"/>
        <sz val="11"/>
        <color theme="1"/>
        <rFont val="Calibri"/>
        <family val="2"/>
        <scheme val="minor"/>
      </rPr>
      <t>F</t>
    </r>
  </si>
  <si>
    <t>Déclaration sur l’honneur</t>
  </si>
  <si>
    <t>Pièces justifiant les pouvoirs Conférés</t>
  </si>
  <si>
    <t>Attestation Fiscale</t>
  </si>
  <si>
    <t>Attestation CNSS</t>
  </si>
  <si>
    <t>Autorisation d’exercer la profession d’architecte</t>
  </si>
  <si>
    <t>Attestation  d’inscription Ordre National des architectes</t>
  </si>
  <si>
    <t>Attestation de réunion ou visite des lieux</t>
  </si>
  <si>
    <t>Estimation sommaire</t>
  </si>
  <si>
    <t>Observations</t>
  </si>
  <si>
    <t>Avant vérification</t>
  </si>
  <si>
    <t>Après vérification</t>
  </si>
  <si>
    <t>X</t>
  </si>
  <si>
    <t>Architecte 1</t>
  </si>
  <si>
    <t>Architecte 2</t>
  </si>
  <si>
    <t>Architecte 3</t>
  </si>
  <si>
    <t>Architecte 4</t>
  </si>
  <si>
    <t>Architecte 5</t>
  </si>
  <si>
    <t>Architecte 6</t>
  </si>
  <si>
    <t>Architecte 7</t>
  </si>
  <si>
    <t>Architecte 8</t>
  </si>
  <si>
    <t>Architecte 9</t>
  </si>
  <si>
    <t>Architecte 10</t>
  </si>
  <si>
    <t>Admis</t>
  </si>
  <si>
    <t>Journaux</t>
  </si>
  <si>
    <t>PMMP</t>
  </si>
  <si>
    <t>Avis de consultation architecturale n° 12/2014 du 29/01/2014 à 10 H</t>
  </si>
  <si>
    <r>
      <rPr>
        <sz val="11"/>
        <color theme="1"/>
        <rFont val="Calibri"/>
        <family val="2"/>
        <scheme val="minor"/>
      </rPr>
      <t>Budget prévisionnel du coût des travaux</t>
    </r>
    <r>
      <rPr>
        <b/>
        <sz val="11"/>
        <color theme="1"/>
        <rFont val="Calibri"/>
        <family val="2"/>
        <scheme val="minor"/>
      </rPr>
      <t>: 19 500 000,00 DH</t>
    </r>
  </si>
  <si>
    <r>
      <t xml:space="preserve">Travaux de construction d'un ouvrage </t>
    </r>
    <r>
      <rPr>
        <sz val="11"/>
        <color theme="1"/>
        <rFont val="Calibri"/>
        <family val="2"/>
        <scheme val="minor"/>
      </rPr>
      <t>……………………………………………</t>
    </r>
  </si>
  <si>
    <t>défaut de l'attestation  d’inscription ONA</t>
  </si>
  <si>
    <t>Estimation est supérieur au budget prévu</t>
  </si>
  <si>
    <t>Avis de cnsultation ayant pour objet: Travaux de construction d'un ouvrage ……………………………………………</t>
  </si>
  <si>
    <t>Ecarté</t>
  </si>
  <si>
    <t>Ecarté (Taux est &lt; au minimum)</t>
  </si>
  <si>
    <t xml:space="preserve">Non respect du §2 art 101 </t>
  </si>
  <si>
    <t>Rissalat al ouma du ……………………………………...</t>
  </si>
  <si>
    <t>Liberation du ………………………………………</t>
  </si>
  <si>
    <t>du ………………………………………</t>
  </si>
  <si>
    <t>Respect du délai réglementaire</t>
  </si>
  <si>
    <t>Exercice 2</t>
  </si>
  <si>
    <r>
      <t xml:space="preserve">Dans le cas où plusieurs offres jugées les plus avantageuses ayant obtenu des notes globales </t>
    </r>
    <r>
      <rPr>
        <b/>
        <sz val="16"/>
        <color theme="0"/>
        <rFont val="Calibri"/>
        <family val="2"/>
      </rPr>
      <t>équivalentes,</t>
    </r>
    <r>
      <rPr>
        <sz val="16"/>
        <color theme="0"/>
        <rFont val="Calibri"/>
        <family val="2"/>
      </rPr>
      <t xml:space="preserve"> le jury retient l’architecte ayant obtenu la </t>
    </r>
    <r>
      <rPr>
        <b/>
        <sz val="16"/>
        <color theme="0"/>
        <rFont val="Calibri"/>
        <family val="2"/>
      </rPr>
      <t>meilleure note de la proposition technique</t>
    </r>
    <r>
      <rPr>
        <sz val="16"/>
        <color theme="0"/>
        <rFont val="Calibri"/>
        <family val="2"/>
      </rPr>
      <t xml:space="preserve">. Si les notes des propositions techniques sont également équivalentes, le jury procède au </t>
    </r>
    <r>
      <rPr>
        <b/>
        <sz val="16"/>
        <color theme="0"/>
        <rFont val="Calibri"/>
        <family val="2"/>
      </rPr>
      <t>tirage au sort</t>
    </r>
    <r>
      <rPr>
        <sz val="16"/>
        <color theme="0"/>
        <rFont val="Calibri"/>
        <family val="2"/>
      </rPr>
      <t xml:space="preserve"> pour désigner l’architecte à retenir.</t>
    </r>
  </si>
  <si>
    <t>Exercice 1</t>
  </si>
  <si>
    <t>NP (note de présentation)</t>
  </si>
  <si>
    <t>ES (Une esquisse sommaire du projet )</t>
  </si>
  <si>
    <t>CE (Le calendrier d'établissement des études)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</si>
</sst>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0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1" xfId="0" applyFont="1" applyBorder="1" applyAlignment="1">
      <alignment horizontal="center" vertical="center"/>
    </xf>
    <xf numFmtId="4" fontId="0" fillId="0" borderId="1" xfId="0" applyNumberFormat="1" applyBorder="1"/>
    <xf numFmtId="0" fontId="2" fillId="0" borderId="1" xfId="0" applyFont="1" applyBorder="1" applyAlignment="1">
      <alignment horizontal="center"/>
    </xf>
    <xf numFmtId="4" fontId="0" fillId="0" borderId="0" xfId="0" applyNumberFormat="1"/>
    <xf numFmtId="4" fontId="1" fillId="0" borderId="1" xfId="0" applyNumberFormat="1" applyFont="1" applyBorder="1"/>
    <xf numFmtId="0" fontId="0" fillId="0" borderId="5" xfId="0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3" xfId="0" applyBorder="1" applyAlignment="1">
      <alignment wrapText="1"/>
    </xf>
    <xf numFmtId="4" fontId="0" fillId="0" borderId="5" xfId="0" applyNumberFormat="1" applyBorder="1" applyAlignment="1">
      <alignment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" fontId="1" fillId="0" borderId="5" xfId="0" applyNumberFormat="1" applyFont="1" applyBorder="1" applyAlignment="1">
      <alignment wrapText="1"/>
    </xf>
    <xf numFmtId="4" fontId="0" fillId="0" borderId="10" xfId="0" applyNumberFormat="1" applyBorder="1"/>
    <xf numFmtId="4" fontId="0" fillId="0" borderId="11" xfId="0" applyNumberFormat="1" applyBorder="1"/>
    <xf numFmtId="4" fontId="0" fillId="0" borderId="12" xfId="0" applyNumberFormat="1" applyBorder="1"/>
    <xf numFmtId="0" fontId="0" fillId="0" borderId="3" xfId="0" applyBorder="1" applyAlignment="1">
      <alignment vertical="center" wrapText="1"/>
    </xf>
    <xf numFmtId="4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0" fontId="0" fillId="0" borderId="11" xfId="0" applyBorder="1" applyAlignment="1">
      <alignment vertical="center"/>
    </xf>
    <xf numFmtId="4" fontId="0" fillId="0" borderId="11" xfId="0" applyNumberFormat="1" applyBorder="1" applyAlignment="1">
      <alignment vertical="center"/>
    </xf>
    <xf numFmtId="4" fontId="7" fillId="0" borderId="1" xfId="0" applyNumberFormat="1" applyFont="1" applyBorder="1" applyAlignment="1">
      <alignment vertical="center"/>
    </xf>
    <xf numFmtId="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4" fontId="10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center" vertical="center"/>
    </xf>
    <xf numFmtId="4" fontId="9" fillId="0" borderId="1" xfId="0" applyNumberFormat="1" applyFont="1" applyBorder="1" applyAlignment="1">
      <alignment vertical="center"/>
    </xf>
    <xf numFmtId="0" fontId="9" fillId="0" borderId="5" xfId="0" applyFont="1" applyBorder="1" applyAlignment="1">
      <alignment horizontal="center" wrapText="1"/>
    </xf>
    <xf numFmtId="4" fontId="11" fillId="0" borderId="5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left" wrapText="1"/>
    </xf>
    <xf numFmtId="4" fontId="9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4" fontId="11" fillId="0" borderId="1" xfId="0" applyNumberFormat="1" applyFont="1" applyBorder="1"/>
    <xf numFmtId="0" fontId="9" fillId="0" borderId="1" xfId="0" applyFont="1" applyBorder="1"/>
    <xf numFmtId="3" fontId="11" fillId="0" borderId="1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1" fillId="0" borderId="0" xfId="0" applyFont="1" applyAlignment="1">
      <alignment horizontal="center" vertical="distributed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justify" vertical="distributed"/>
    </xf>
    <xf numFmtId="0" fontId="14" fillId="0" borderId="0" xfId="0" applyFont="1" applyAlignment="1">
      <alignment vertical="distributed"/>
    </xf>
    <xf numFmtId="0" fontId="0" fillId="0" borderId="1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2"/>
  <sheetViews>
    <sheetView topLeftCell="A4" workbookViewId="0">
      <selection activeCell="J18" sqref="J18"/>
    </sheetView>
  </sheetViews>
  <sheetFormatPr baseColWidth="10" defaultRowHeight="14.4" x14ac:dyDescent="0.3"/>
  <cols>
    <col min="1" max="1" width="13.21875" customWidth="1"/>
    <col min="2" max="2" width="9.5546875" customWidth="1"/>
    <col min="3" max="3" width="11" customWidth="1"/>
    <col min="4" max="4" width="9.77734375" customWidth="1"/>
    <col min="5" max="5" width="10.5546875" customWidth="1"/>
    <col min="6" max="6" width="11.5546875" customWidth="1"/>
    <col min="7" max="7" width="12.44140625" customWidth="1"/>
    <col min="8" max="8" width="12.5546875" customWidth="1"/>
    <col min="9" max="9" width="22.44140625" customWidth="1"/>
    <col min="10" max="10" width="21.44140625" customWidth="1"/>
    <col min="11" max="11" width="16.21875" customWidth="1"/>
    <col min="12" max="12" width="39.44140625" customWidth="1"/>
  </cols>
  <sheetData>
    <row r="3" spans="1:12" ht="26.25" customHeight="1" x14ac:dyDescent="0.3">
      <c r="A3" s="48" t="s">
        <v>44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ht="26.25" customHeight="1" x14ac:dyDescent="0.3">
      <c r="A4" s="48"/>
      <c r="B4" s="48"/>
      <c r="C4" s="48"/>
      <c r="D4" s="11"/>
      <c r="E4" s="11"/>
      <c r="F4" s="11"/>
      <c r="G4" s="11"/>
      <c r="H4" s="11"/>
      <c r="I4" s="11"/>
      <c r="J4" s="11"/>
      <c r="K4" s="11"/>
      <c r="L4" s="11"/>
    </row>
    <row r="5" spans="1:12" ht="14.25" customHeight="1" x14ac:dyDescent="0.3">
      <c r="A5" s="11"/>
      <c r="B5" s="11"/>
      <c r="C5" s="11"/>
      <c r="D5" s="11"/>
      <c r="E5" s="11"/>
      <c r="F5" s="11"/>
      <c r="G5" s="47" t="s">
        <v>42</v>
      </c>
      <c r="H5" s="50" t="s">
        <v>53</v>
      </c>
      <c r="I5" s="50"/>
      <c r="J5" s="49"/>
      <c r="K5" s="42" t="s">
        <v>56</v>
      </c>
      <c r="L5" s="11"/>
    </row>
    <row r="6" spans="1:12" x14ac:dyDescent="0.3">
      <c r="G6" s="49"/>
      <c r="H6" s="49" t="s">
        <v>54</v>
      </c>
      <c r="I6" s="49"/>
      <c r="J6" s="49"/>
      <c r="K6" s="42"/>
    </row>
    <row r="7" spans="1:12" x14ac:dyDescent="0.3">
      <c r="A7" s="47" t="s">
        <v>45</v>
      </c>
      <c r="B7" s="47"/>
      <c r="C7" s="47"/>
      <c r="D7" s="47"/>
      <c r="E7" s="47"/>
      <c r="F7" s="10"/>
      <c r="G7" s="10" t="s">
        <v>43</v>
      </c>
      <c r="H7" s="49" t="s">
        <v>55</v>
      </c>
      <c r="I7" s="49"/>
      <c r="J7" s="49"/>
      <c r="K7" s="42"/>
      <c r="L7" s="10"/>
    </row>
    <row r="8" spans="1:12" x14ac:dyDescent="0.3">
      <c r="A8" s="10"/>
      <c r="B8" s="10"/>
      <c r="C8" s="10"/>
      <c r="D8" s="10"/>
      <c r="E8" s="10"/>
      <c r="F8" s="10"/>
      <c r="G8" s="10"/>
      <c r="H8" s="12"/>
      <c r="I8" s="12"/>
      <c r="J8" s="12"/>
      <c r="K8" s="12"/>
      <c r="L8" s="10"/>
    </row>
    <row r="9" spans="1:12" x14ac:dyDescent="0.3">
      <c r="A9" s="10"/>
      <c r="B9" s="47" t="s">
        <v>46</v>
      </c>
      <c r="C9" s="47"/>
      <c r="D9" s="47"/>
      <c r="E9" s="47"/>
      <c r="F9" s="47"/>
      <c r="G9" s="47"/>
      <c r="H9" s="47"/>
      <c r="I9" s="47"/>
      <c r="J9" s="10"/>
      <c r="K9" s="10"/>
      <c r="L9" s="10"/>
    </row>
    <row r="10" spans="1:12" ht="15" thickBot="1" x14ac:dyDescent="0.35"/>
    <row r="11" spans="1:12" ht="24" customHeight="1" thickBot="1" x14ac:dyDescent="0.35">
      <c r="A11" s="43" t="s">
        <v>0</v>
      </c>
      <c r="B11" s="43" t="s">
        <v>19</v>
      </c>
      <c r="C11" s="43" t="s">
        <v>20</v>
      </c>
      <c r="D11" s="43" t="s">
        <v>21</v>
      </c>
      <c r="E11" s="43" t="s">
        <v>22</v>
      </c>
      <c r="F11" s="43" t="s">
        <v>23</v>
      </c>
      <c r="G11" s="43" t="s">
        <v>24</v>
      </c>
      <c r="H11" s="43" t="s">
        <v>25</v>
      </c>
      <c r="I11" s="45" t="s">
        <v>26</v>
      </c>
      <c r="J11" s="46"/>
      <c r="K11" s="38" t="s">
        <v>27</v>
      </c>
      <c r="L11" s="39"/>
    </row>
    <row r="12" spans="1:12" ht="15" thickBot="1" x14ac:dyDescent="0.35">
      <c r="A12" s="44"/>
      <c r="B12" s="44"/>
      <c r="C12" s="44"/>
      <c r="D12" s="44"/>
      <c r="E12" s="44"/>
      <c r="F12" s="44"/>
      <c r="G12" s="44"/>
      <c r="H12" s="44"/>
      <c r="I12" s="7" t="s">
        <v>28</v>
      </c>
      <c r="J12" s="7" t="s">
        <v>29</v>
      </c>
      <c r="K12" s="40"/>
      <c r="L12" s="41"/>
    </row>
    <row r="13" spans="1:12" ht="16.5" customHeight="1" thickBot="1" x14ac:dyDescent="0.35">
      <c r="A13" s="8" t="s">
        <v>31</v>
      </c>
      <c r="B13" s="6" t="s">
        <v>30</v>
      </c>
      <c r="C13" s="6" t="s">
        <v>30</v>
      </c>
      <c r="D13" s="6" t="s">
        <v>30</v>
      </c>
      <c r="E13" s="6" t="s">
        <v>30</v>
      </c>
      <c r="F13" s="6" t="s">
        <v>30</v>
      </c>
      <c r="G13" s="6" t="s">
        <v>30</v>
      </c>
      <c r="H13" s="6" t="s">
        <v>30</v>
      </c>
      <c r="I13" s="9">
        <v>14000000</v>
      </c>
      <c r="J13" s="9">
        <v>14000000</v>
      </c>
      <c r="K13" s="31" t="s">
        <v>50</v>
      </c>
      <c r="L13" s="32" t="s">
        <v>52</v>
      </c>
    </row>
    <row r="14" spans="1:12" ht="15" thickBot="1" x14ac:dyDescent="0.35">
      <c r="A14" s="8" t="s">
        <v>32</v>
      </c>
      <c r="B14" s="6" t="s">
        <v>30</v>
      </c>
      <c r="C14" s="6" t="s">
        <v>30</v>
      </c>
      <c r="D14" s="6" t="s">
        <v>30</v>
      </c>
      <c r="E14" s="6" t="s">
        <v>30</v>
      </c>
      <c r="F14" s="6" t="s">
        <v>30</v>
      </c>
      <c r="G14" s="6" t="s">
        <v>30</v>
      </c>
      <c r="H14" s="6" t="s">
        <v>30</v>
      </c>
      <c r="I14" s="2">
        <v>15500000</v>
      </c>
      <c r="J14" s="2">
        <v>15500000</v>
      </c>
      <c r="K14" s="30" t="s">
        <v>41</v>
      </c>
      <c r="L14" s="32"/>
    </row>
    <row r="15" spans="1:12" ht="15" thickBot="1" x14ac:dyDescent="0.35">
      <c r="A15" s="8" t="s">
        <v>33</v>
      </c>
      <c r="B15" s="6" t="s">
        <v>30</v>
      </c>
      <c r="C15" s="6" t="s">
        <v>30</v>
      </c>
      <c r="D15" s="6" t="s">
        <v>30</v>
      </c>
      <c r="E15" s="6" t="s">
        <v>30</v>
      </c>
      <c r="F15" s="6" t="s">
        <v>30</v>
      </c>
      <c r="G15" s="6" t="s">
        <v>30</v>
      </c>
      <c r="H15" s="6" t="s">
        <v>30</v>
      </c>
      <c r="I15" s="2">
        <v>18000000</v>
      </c>
      <c r="J15" s="2">
        <v>18000000</v>
      </c>
      <c r="K15" s="30" t="s">
        <v>41</v>
      </c>
      <c r="L15" s="32"/>
    </row>
    <row r="16" spans="1:12" ht="15" thickBot="1" x14ac:dyDescent="0.35">
      <c r="A16" s="8" t="s">
        <v>34</v>
      </c>
      <c r="B16" s="6" t="s">
        <v>30</v>
      </c>
      <c r="C16" s="6" t="s">
        <v>30</v>
      </c>
      <c r="D16" s="6" t="s">
        <v>30</v>
      </c>
      <c r="E16" s="6" t="s">
        <v>30</v>
      </c>
      <c r="F16" s="6" t="s">
        <v>30</v>
      </c>
      <c r="G16" s="6" t="s">
        <v>30</v>
      </c>
      <c r="H16" s="6" t="s">
        <v>30</v>
      </c>
      <c r="I16" s="9">
        <v>20000000</v>
      </c>
      <c r="J16" s="9">
        <v>20000000</v>
      </c>
      <c r="K16" s="31" t="s">
        <v>50</v>
      </c>
      <c r="L16" s="32" t="s">
        <v>48</v>
      </c>
    </row>
    <row r="17" spans="1:12" ht="15" thickBot="1" x14ac:dyDescent="0.35">
      <c r="A17" s="8" t="s">
        <v>35</v>
      </c>
      <c r="B17" s="6" t="s">
        <v>30</v>
      </c>
      <c r="C17" s="6" t="s">
        <v>30</v>
      </c>
      <c r="D17" s="6" t="s">
        <v>30</v>
      </c>
      <c r="E17" s="6" t="s">
        <v>30</v>
      </c>
      <c r="F17" s="6" t="s">
        <v>30</v>
      </c>
      <c r="G17" s="6" t="s">
        <v>30</v>
      </c>
      <c r="H17" s="6" t="s">
        <v>30</v>
      </c>
      <c r="I17" s="9">
        <v>19200000</v>
      </c>
      <c r="J17" s="13">
        <v>19900000</v>
      </c>
      <c r="K17" s="31" t="s">
        <v>50</v>
      </c>
      <c r="L17" s="32" t="s">
        <v>48</v>
      </c>
    </row>
    <row r="18" spans="1:12" ht="15" thickBot="1" x14ac:dyDescent="0.35">
      <c r="A18" s="8" t="s">
        <v>36</v>
      </c>
      <c r="B18" s="6" t="s">
        <v>30</v>
      </c>
      <c r="C18" s="6" t="s">
        <v>30</v>
      </c>
      <c r="D18" s="6" t="s">
        <v>30</v>
      </c>
      <c r="E18" s="6" t="s">
        <v>30</v>
      </c>
      <c r="F18" s="6" t="s">
        <v>30</v>
      </c>
      <c r="G18" s="6" t="s">
        <v>30</v>
      </c>
      <c r="H18" s="6" t="s">
        <v>30</v>
      </c>
      <c r="I18" s="2">
        <v>12000000</v>
      </c>
      <c r="J18" s="2">
        <v>12000000</v>
      </c>
      <c r="K18" s="30" t="s">
        <v>41</v>
      </c>
      <c r="L18" s="32"/>
    </row>
    <row r="19" spans="1:12" ht="15" thickBot="1" x14ac:dyDescent="0.35">
      <c r="A19" s="8" t="s">
        <v>37</v>
      </c>
      <c r="B19" s="6" t="s">
        <v>30</v>
      </c>
      <c r="C19" s="6" t="s">
        <v>30</v>
      </c>
      <c r="D19" s="6" t="s">
        <v>30</v>
      </c>
      <c r="E19" s="6" t="s">
        <v>30</v>
      </c>
      <c r="F19" s="6" t="s">
        <v>30</v>
      </c>
      <c r="G19" s="6" t="s">
        <v>30</v>
      </c>
      <c r="H19" s="6" t="s">
        <v>30</v>
      </c>
      <c r="I19" s="2">
        <v>16000000</v>
      </c>
      <c r="J19" s="2">
        <v>16000000</v>
      </c>
      <c r="K19" s="30" t="s">
        <v>41</v>
      </c>
      <c r="L19" s="32"/>
    </row>
    <row r="20" spans="1:12" ht="15" thickBot="1" x14ac:dyDescent="0.35">
      <c r="A20" s="8" t="s">
        <v>38</v>
      </c>
      <c r="B20" s="6" t="s">
        <v>30</v>
      </c>
      <c r="C20" s="6" t="s">
        <v>30</v>
      </c>
      <c r="D20" s="6" t="s">
        <v>30</v>
      </c>
      <c r="E20" s="6" t="s">
        <v>30</v>
      </c>
      <c r="F20" s="6" t="s">
        <v>30</v>
      </c>
      <c r="G20" s="6" t="s">
        <v>30</v>
      </c>
      <c r="H20" s="6" t="s">
        <v>30</v>
      </c>
      <c r="I20" s="2">
        <v>15000000</v>
      </c>
      <c r="J20" s="2">
        <v>15000000</v>
      </c>
      <c r="K20" s="30" t="s">
        <v>41</v>
      </c>
      <c r="L20" s="32"/>
    </row>
    <row r="21" spans="1:12" ht="15" thickBot="1" x14ac:dyDescent="0.35">
      <c r="A21" s="8" t="s">
        <v>39</v>
      </c>
      <c r="B21" s="6" t="s">
        <v>30</v>
      </c>
      <c r="C21" s="6" t="s">
        <v>30</v>
      </c>
      <c r="D21" s="6" t="s">
        <v>30</v>
      </c>
      <c r="E21" s="6" t="s">
        <v>30</v>
      </c>
      <c r="F21" s="6" t="s">
        <v>30</v>
      </c>
      <c r="G21" s="6" t="s">
        <v>30</v>
      </c>
      <c r="H21" s="6" t="s">
        <v>30</v>
      </c>
      <c r="I21" s="9">
        <v>15000000</v>
      </c>
      <c r="J21" s="9">
        <v>15000000</v>
      </c>
      <c r="K21" s="30" t="s">
        <v>41</v>
      </c>
      <c r="L21" s="32"/>
    </row>
    <row r="22" spans="1:12" ht="15" thickBot="1" x14ac:dyDescent="0.35">
      <c r="A22" s="8" t="s">
        <v>40</v>
      </c>
      <c r="B22" s="6" t="s">
        <v>30</v>
      </c>
      <c r="C22" s="6" t="s">
        <v>30</v>
      </c>
      <c r="D22" s="6" t="s">
        <v>30</v>
      </c>
      <c r="E22" s="6" t="s">
        <v>30</v>
      </c>
      <c r="F22" s="6" t="s">
        <v>30</v>
      </c>
      <c r="G22" s="6"/>
      <c r="H22" s="6" t="s">
        <v>30</v>
      </c>
      <c r="I22" s="9">
        <v>16800000</v>
      </c>
      <c r="J22" s="9">
        <v>16800000</v>
      </c>
      <c r="K22" s="31" t="s">
        <v>50</v>
      </c>
      <c r="L22" s="32" t="s">
        <v>47</v>
      </c>
    </row>
  </sheetData>
  <mergeCells count="19">
    <mergeCell ref="A3:L3"/>
    <mergeCell ref="A7:E7"/>
    <mergeCell ref="G5:G6"/>
    <mergeCell ref="H5:J5"/>
    <mergeCell ref="H6:J6"/>
    <mergeCell ref="H7:J7"/>
    <mergeCell ref="A4:C4"/>
    <mergeCell ref="K11:L12"/>
    <mergeCell ref="K5:K7"/>
    <mergeCell ref="A11:A12"/>
    <mergeCell ref="B11:B12"/>
    <mergeCell ref="C11:C12"/>
    <mergeCell ref="D11:D12"/>
    <mergeCell ref="E11:E12"/>
    <mergeCell ref="G11:G12"/>
    <mergeCell ref="H11:H12"/>
    <mergeCell ref="I11:J11"/>
    <mergeCell ref="B9:I9"/>
    <mergeCell ref="F11:F12"/>
  </mergeCells>
  <pageMargins left="0.78740157480314965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tabSelected="1" topLeftCell="C1" workbookViewId="0">
      <selection activeCell="E20" sqref="E20:I24"/>
    </sheetView>
  </sheetViews>
  <sheetFormatPr baseColWidth="10" defaultRowHeight="14.4" x14ac:dyDescent="0.3"/>
  <cols>
    <col min="1" max="1" width="27.21875" customWidth="1"/>
    <col min="2" max="2" width="23.109375" customWidth="1"/>
    <col min="3" max="3" width="18.21875" customWidth="1"/>
    <col min="4" max="4" width="23.5546875" customWidth="1"/>
    <col min="5" max="5" width="21.21875" customWidth="1"/>
    <col min="6" max="6" width="16.21875" customWidth="1"/>
    <col min="7" max="7" width="12.44140625" customWidth="1"/>
    <col min="8" max="8" width="16.77734375" customWidth="1"/>
    <col min="9" max="9" width="13.44140625" customWidth="1"/>
  </cols>
  <sheetData>
    <row r="1" spans="1:9" x14ac:dyDescent="0.3">
      <c r="A1" t="s">
        <v>59</v>
      </c>
    </row>
    <row r="2" spans="1:9" x14ac:dyDescent="0.3">
      <c r="A2" s="57" t="s">
        <v>49</v>
      </c>
      <c r="B2" s="57"/>
      <c r="C2" s="57"/>
      <c r="D2" s="57"/>
      <c r="E2" s="57"/>
      <c r="F2" s="57"/>
      <c r="G2" s="57"/>
      <c r="H2" s="57"/>
      <c r="I2" s="57"/>
    </row>
    <row r="3" spans="1:9" x14ac:dyDescent="0.3">
      <c r="A3" s="26"/>
      <c r="B3" s="26"/>
      <c r="C3" s="26"/>
      <c r="D3" s="26"/>
      <c r="E3" s="26"/>
      <c r="F3" s="26"/>
      <c r="G3" s="26"/>
      <c r="H3" s="26"/>
      <c r="I3" s="26"/>
    </row>
    <row r="4" spans="1:9" x14ac:dyDescent="0.3">
      <c r="A4" s="47" t="s">
        <v>45</v>
      </c>
      <c r="B4" s="47"/>
      <c r="C4" s="47"/>
      <c r="D4" s="47"/>
      <c r="E4" s="47"/>
      <c r="F4" s="26"/>
      <c r="G4" s="26"/>
      <c r="H4" s="26"/>
      <c r="I4" s="26"/>
    </row>
    <row r="5" spans="1:9" x14ac:dyDescent="0.3">
      <c r="A5" s="26"/>
      <c r="B5" s="26"/>
      <c r="C5" s="26"/>
      <c r="D5" s="26"/>
      <c r="E5" s="26"/>
      <c r="F5" s="26"/>
      <c r="G5" s="26"/>
      <c r="H5" s="26"/>
      <c r="I5" s="26"/>
    </row>
    <row r="7" spans="1:9" x14ac:dyDescent="0.3">
      <c r="A7" s="51" t="s">
        <v>12</v>
      </c>
      <c r="B7" s="51"/>
      <c r="C7" s="51"/>
      <c r="D7" s="51"/>
      <c r="E7" s="51"/>
      <c r="F7" s="51"/>
      <c r="H7" s="51" t="s">
        <v>11</v>
      </c>
      <c r="I7" s="51"/>
    </row>
    <row r="8" spans="1:9" ht="37.5" customHeight="1" x14ac:dyDescent="0.3">
      <c r="A8" s="1" t="s">
        <v>0</v>
      </c>
      <c r="B8" s="1" t="s">
        <v>60</v>
      </c>
      <c r="C8" s="34" t="s">
        <v>61</v>
      </c>
      <c r="D8" s="34" t="s">
        <v>62</v>
      </c>
      <c r="E8" s="1"/>
      <c r="F8" s="1" t="s">
        <v>8</v>
      </c>
      <c r="H8" s="1" t="s">
        <v>1</v>
      </c>
      <c r="I8" s="1" t="s">
        <v>10</v>
      </c>
    </row>
    <row r="9" spans="1:9" ht="18.75" customHeight="1" thickBot="1" x14ac:dyDescent="0.35">
      <c r="A9" s="17" t="s">
        <v>32</v>
      </c>
      <c r="B9" s="18">
        <v>20</v>
      </c>
      <c r="C9" s="18">
        <v>25</v>
      </c>
      <c r="D9" s="18">
        <v>25</v>
      </c>
      <c r="E9" s="18"/>
      <c r="F9" s="23">
        <f t="shared" ref="F9:F14" si="0">B9+C9+D9+E9</f>
        <v>70</v>
      </c>
      <c r="G9" s="19"/>
      <c r="H9" s="18">
        <v>15500000</v>
      </c>
      <c r="I9" s="23">
        <f>(12000000/H9)*100</f>
        <v>77.41935483870968</v>
      </c>
    </row>
    <row r="10" spans="1:9" ht="18.75" customHeight="1" thickBot="1" x14ac:dyDescent="0.35">
      <c r="A10" s="17" t="s">
        <v>33</v>
      </c>
      <c r="B10" s="18">
        <v>25</v>
      </c>
      <c r="C10" s="18">
        <v>25</v>
      </c>
      <c r="D10" s="18">
        <v>25</v>
      </c>
      <c r="E10" s="18"/>
      <c r="F10" s="23">
        <f t="shared" si="0"/>
        <v>75</v>
      </c>
      <c r="G10" s="19"/>
      <c r="H10" s="18">
        <v>18000000</v>
      </c>
      <c r="I10" s="23">
        <f t="shared" ref="I10:I14" si="1">(12000000/H10)*100</f>
        <v>66.666666666666657</v>
      </c>
    </row>
    <row r="11" spans="1:9" ht="18.75" customHeight="1" thickBot="1" x14ac:dyDescent="0.35">
      <c r="A11" s="17" t="s">
        <v>36</v>
      </c>
      <c r="B11" s="18">
        <v>18</v>
      </c>
      <c r="C11" s="18">
        <v>25</v>
      </c>
      <c r="D11" s="18">
        <v>18</v>
      </c>
      <c r="E11" s="18"/>
      <c r="F11" s="23">
        <f t="shared" si="0"/>
        <v>61</v>
      </c>
      <c r="G11" s="19"/>
      <c r="H11" s="18">
        <v>12000000</v>
      </c>
      <c r="I11" s="23">
        <f t="shared" si="1"/>
        <v>100</v>
      </c>
    </row>
    <row r="12" spans="1:9" ht="18.75" customHeight="1" thickBot="1" x14ac:dyDescent="0.35">
      <c r="A12" s="17" t="s">
        <v>37</v>
      </c>
      <c r="B12" s="18">
        <v>16</v>
      </c>
      <c r="C12" s="18">
        <v>20</v>
      </c>
      <c r="D12" s="18">
        <v>16</v>
      </c>
      <c r="E12" s="18"/>
      <c r="F12" s="23">
        <f t="shared" si="0"/>
        <v>52</v>
      </c>
      <c r="G12" s="19"/>
      <c r="H12" s="18">
        <v>16000000</v>
      </c>
      <c r="I12" s="23">
        <f t="shared" si="1"/>
        <v>75</v>
      </c>
    </row>
    <row r="13" spans="1:9" ht="18.75" customHeight="1" thickBot="1" x14ac:dyDescent="0.35">
      <c r="A13" s="17" t="s">
        <v>38</v>
      </c>
      <c r="B13" s="18">
        <v>25</v>
      </c>
      <c r="C13" s="18">
        <v>25</v>
      </c>
      <c r="D13" s="18">
        <v>25</v>
      </c>
      <c r="E13" s="18"/>
      <c r="F13" s="23">
        <f t="shared" si="0"/>
        <v>75</v>
      </c>
      <c r="G13" s="19"/>
      <c r="H13" s="18">
        <v>15000000</v>
      </c>
      <c r="I13" s="23">
        <f t="shared" si="1"/>
        <v>80</v>
      </c>
    </row>
    <row r="14" spans="1:9" ht="18.75" customHeight="1" thickBot="1" x14ac:dyDescent="0.35">
      <c r="A14" s="17" t="s">
        <v>39</v>
      </c>
      <c r="B14" s="18">
        <v>25</v>
      </c>
      <c r="C14" s="18">
        <v>25</v>
      </c>
      <c r="D14" s="18">
        <v>25</v>
      </c>
      <c r="E14" s="18"/>
      <c r="F14" s="23">
        <f t="shared" si="0"/>
        <v>75</v>
      </c>
      <c r="G14" s="19"/>
      <c r="H14" s="18">
        <v>15000000</v>
      </c>
      <c r="I14" s="23">
        <f t="shared" si="1"/>
        <v>80</v>
      </c>
    </row>
    <row r="15" spans="1:9" x14ac:dyDescent="0.3">
      <c r="A15" s="19"/>
      <c r="B15" s="20"/>
      <c r="C15" s="20"/>
      <c r="D15" s="20"/>
      <c r="E15" s="20"/>
      <c r="F15" s="20"/>
      <c r="G15" s="19"/>
      <c r="H15" s="20"/>
      <c r="I15" s="20"/>
    </row>
    <row r="16" spans="1:9" x14ac:dyDescent="0.3">
      <c r="A16" s="19"/>
      <c r="B16" s="19"/>
      <c r="C16" s="19"/>
      <c r="D16" s="19"/>
      <c r="E16" s="19"/>
      <c r="F16" s="19"/>
      <c r="G16" s="19"/>
      <c r="H16" s="19"/>
      <c r="I16" s="19"/>
    </row>
    <row r="17" spans="1:9" x14ac:dyDescent="0.3">
      <c r="A17" s="19"/>
      <c r="B17" s="19"/>
      <c r="C17" s="19"/>
      <c r="D17" s="19"/>
      <c r="E17" s="19"/>
      <c r="F17" s="19"/>
      <c r="G17" s="19"/>
      <c r="H17" s="19"/>
      <c r="I17" s="19"/>
    </row>
    <row r="18" spans="1:9" ht="15.6" x14ac:dyDescent="0.3">
      <c r="A18" s="52" t="s">
        <v>13</v>
      </c>
      <c r="B18" s="52"/>
      <c r="C18" s="53"/>
      <c r="D18" s="19"/>
      <c r="E18" s="54" t="s">
        <v>18</v>
      </c>
      <c r="F18" s="55"/>
      <c r="G18" s="55"/>
      <c r="H18" s="55"/>
      <c r="I18" s="56"/>
    </row>
    <row r="19" spans="1:9" ht="15" x14ac:dyDescent="0.3">
      <c r="A19" s="1" t="s">
        <v>0</v>
      </c>
      <c r="B19" s="1" t="s">
        <v>2</v>
      </c>
      <c r="C19" s="1" t="s">
        <v>3</v>
      </c>
      <c r="D19" s="21"/>
      <c r="E19" s="1" t="s">
        <v>15</v>
      </c>
      <c r="F19" s="1" t="s">
        <v>16</v>
      </c>
      <c r="G19" s="1" t="s">
        <v>17</v>
      </c>
      <c r="H19" s="1" t="s">
        <v>9</v>
      </c>
      <c r="I19" s="1" t="s">
        <v>14</v>
      </c>
    </row>
    <row r="20" spans="1:9" ht="18.75" customHeight="1" thickBot="1" x14ac:dyDescent="0.35">
      <c r="A20" s="17" t="s">
        <v>32</v>
      </c>
      <c r="B20" s="18">
        <v>5</v>
      </c>
      <c r="C20" s="24">
        <f>(4.2/B20)*100</f>
        <v>84.000000000000014</v>
      </c>
      <c r="D20" s="22"/>
      <c r="E20" s="24">
        <f>F9</f>
        <v>70</v>
      </c>
      <c r="F20" s="23">
        <f t="shared" ref="F20:F24" si="2">I9</f>
        <v>77.41935483870968</v>
      </c>
      <c r="G20" s="25">
        <f t="shared" ref="G20:G24" si="3">C20</f>
        <v>84.000000000000014</v>
      </c>
      <c r="H20" s="23">
        <f>0.7*E20+0.2*F20+0.1*G20</f>
        <v>72.883870967741942</v>
      </c>
      <c r="I20" s="64">
        <v>3</v>
      </c>
    </row>
    <row r="21" spans="1:9" ht="18.75" customHeight="1" thickBot="1" x14ac:dyDescent="0.35">
      <c r="A21" s="17" t="s">
        <v>33</v>
      </c>
      <c r="B21" s="18">
        <v>5</v>
      </c>
      <c r="C21" s="24">
        <f t="shared" ref="C21:C24" si="4">(4.2/B21)*100</f>
        <v>84.000000000000014</v>
      </c>
      <c r="D21" s="22"/>
      <c r="E21" s="24">
        <f>F10</f>
        <v>75</v>
      </c>
      <c r="F21" s="23">
        <f t="shared" si="2"/>
        <v>66.666666666666657</v>
      </c>
      <c r="G21" s="25">
        <f t="shared" si="3"/>
        <v>84.000000000000014</v>
      </c>
      <c r="H21" s="23">
        <f t="shared" ref="H21:H24" si="5">0.7*E21+0.2*F21+0.1*G21</f>
        <v>74.233333333333334</v>
      </c>
      <c r="I21" s="64">
        <v>2</v>
      </c>
    </row>
    <row r="22" spans="1:9" ht="18.75" customHeight="1" thickBot="1" x14ac:dyDescent="0.35">
      <c r="A22" s="17" t="s">
        <v>36</v>
      </c>
      <c r="B22" s="18">
        <v>4.2</v>
      </c>
      <c r="C22" s="24">
        <f t="shared" si="4"/>
        <v>100</v>
      </c>
      <c r="D22" s="22"/>
      <c r="E22" s="24">
        <f>F11</f>
        <v>61</v>
      </c>
      <c r="F22" s="23">
        <f t="shared" si="2"/>
        <v>100</v>
      </c>
      <c r="G22" s="25">
        <f t="shared" si="3"/>
        <v>100</v>
      </c>
      <c r="H22" s="23">
        <f t="shared" si="5"/>
        <v>72.699999999999989</v>
      </c>
      <c r="I22" s="64">
        <v>4</v>
      </c>
    </row>
    <row r="23" spans="1:9" ht="18.75" customHeight="1" thickBot="1" x14ac:dyDescent="0.35">
      <c r="A23" s="17" t="s">
        <v>37</v>
      </c>
      <c r="B23" s="18">
        <v>4.5999999999999996</v>
      </c>
      <c r="C23" s="24">
        <f t="shared" si="4"/>
        <v>91.304347826086968</v>
      </c>
      <c r="D23" s="22"/>
      <c r="E23" s="24">
        <f>F12</f>
        <v>52</v>
      </c>
      <c r="F23" s="23">
        <f t="shared" si="2"/>
        <v>75</v>
      </c>
      <c r="G23" s="24">
        <f t="shared" si="3"/>
        <v>91.304347826086968</v>
      </c>
      <c r="H23" s="23">
        <f t="shared" si="5"/>
        <v>60.530434782608694</v>
      </c>
      <c r="I23" s="64">
        <v>5</v>
      </c>
    </row>
    <row r="24" spans="1:9" ht="18.75" customHeight="1" thickBot="1" x14ac:dyDescent="0.35">
      <c r="A24" s="17" t="s">
        <v>38</v>
      </c>
      <c r="B24" s="18">
        <v>4.2</v>
      </c>
      <c r="C24" s="24">
        <f t="shared" si="4"/>
        <v>100</v>
      </c>
      <c r="D24" s="22"/>
      <c r="E24" s="24">
        <f>F13</f>
        <v>75</v>
      </c>
      <c r="F24" s="23">
        <f t="shared" si="2"/>
        <v>80</v>
      </c>
      <c r="G24" s="25">
        <f t="shared" si="3"/>
        <v>100</v>
      </c>
      <c r="H24" s="23">
        <f t="shared" si="5"/>
        <v>78.5</v>
      </c>
      <c r="I24" s="64">
        <v>1</v>
      </c>
    </row>
    <row r="25" spans="1:9" ht="18.75" customHeight="1" thickBot="1" x14ac:dyDescent="0.35">
      <c r="A25" s="17" t="s">
        <v>39</v>
      </c>
      <c r="B25" s="18">
        <v>3.8</v>
      </c>
      <c r="C25" s="29" t="s">
        <v>51</v>
      </c>
      <c r="D25" s="22"/>
      <c r="E25" s="24"/>
      <c r="F25" s="23"/>
      <c r="G25" s="25"/>
      <c r="H25" s="27"/>
      <c r="I25" s="28"/>
    </row>
  </sheetData>
  <mergeCells count="6">
    <mergeCell ref="A7:F7"/>
    <mergeCell ref="H7:I7"/>
    <mergeCell ref="A18:C18"/>
    <mergeCell ref="E18:I18"/>
    <mergeCell ref="A2:I2"/>
    <mergeCell ref="A4:E4"/>
  </mergeCells>
  <pageMargins left="0.78740157480314965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topLeftCell="A6" workbookViewId="0">
      <selection activeCell="K14" sqref="K14"/>
    </sheetView>
  </sheetViews>
  <sheetFormatPr baseColWidth="10" defaultRowHeight="14.4" x14ac:dyDescent="0.3"/>
  <cols>
    <col min="1" max="1" width="30.44140625" customWidth="1"/>
    <col min="6" max="6" width="16.44140625" customWidth="1"/>
    <col min="8" max="8" width="15.5546875" customWidth="1"/>
    <col min="9" max="9" width="16.77734375" customWidth="1"/>
  </cols>
  <sheetData>
    <row r="1" spans="1:9" x14ac:dyDescent="0.3">
      <c r="A1" t="s">
        <v>57</v>
      </c>
    </row>
    <row r="3" spans="1:9" x14ac:dyDescent="0.3">
      <c r="A3" s="57" t="s">
        <v>49</v>
      </c>
      <c r="B3" s="57"/>
      <c r="C3" s="57"/>
      <c r="D3" s="57"/>
      <c r="E3" s="57"/>
      <c r="F3" s="57"/>
      <c r="G3" s="57"/>
      <c r="H3" s="57"/>
      <c r="I3" s="57"/>
    </row>
    <row r="4" spans="1:9" x14ac:dyDescent="0.3">
      <c r="A4" s="26"/>
      <c r="B4" s="26"/>
      <c r="C4" s="26"/>
      <c r="D4" s="26"/>
      <c r="E4" s="26"/>
      <c r="F4" s="26"/>
      <c r="G4" s="26"/>
      <c r="H4" s="26"/>
      <c r="I4" s="26"/>
    </row>
    <row r="5" spans="1:9" x14ac:dyDescent="0.3">
      <c r="A5" s="47" t="s">
        <v>45</v>
      </c>
      <c r="B5" s="47"/>
      <c r="C5" s="47"/>
      <c r="D5" s="47"/>
      <c r="E5" s="47"/>
    </row>
    <row r="7" spans="1:9" x14ac:dyDescent="0.3">
      <c r="A7" s="51" t="s">
        <v>12</v>
      </c>
      <c r="B7" s="51"/>
      <c r="C7" s="51"/>
      <c r="D7" s="51"/>
      <c r="E7" s="51"/>
      <c r="F7" s="51"/>
      <c r="H7" s="51" t="s">
        <v>11</v>
      </c>
      <c r="I7" s="51"/>
    </row>
    <row r="8" spans="1:9" ht="21.75" customHeight="1" x14ac:dyDescent="0.3">
      <c r="A8" s="1" t="s">
        <v>0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H8" s="1" t="s">
        <v>1</v>
      </c>
      <c r="I8" s="1" t="s">
        <v>10</v>
      </c>
    </row>
    <row r="9" spans="1:9" ht="25.5" customHeight="1" thickBot="1" x14ac:dyDescent="0.35">
      <c r="A9" s="8" t="s">
        <v>32</v>
      </c>
      <c r="B9" s="2">
        <v>25</v>
      </c>
      <c r="C9" s="2">
        <v>25</v>
      </c>
      <c r="D9" s="2">
        <v>25</v>
      </c>
      <c r="E9" s="2">
        <v>20</v>
      </c>
      <c r="F9" s="5">
        <f>B9+C9+D9+E9</f>
        <v>95</v>
      </c>
      <c r="H9" s="2">
        <v>18000000</v>
      </c>
      <c r="I9" s="35">
        <f>(12000000/H9)*100</f>
        <v>66.666666666666657</v>
      </c>
    </row>
    <row r="10" spans="1:9" ht="25.5" customHeight="1" thickBot="1" x14ac:dyDescent="0.35">
      <c r="A10" s="8" t="s">
        <v>33</v>
      </c>
      <c r="B10" s="2">
        <v>25</v>
      </c>
      <c r="C10" s="2">
        <v>25</v>
      </c>
      <c r="D10" s="2">
        <v>25</v>
      </c>
      <c r="E10" s="2">
        <v>20</v>
      </c>
      <c r="F10" s="5">
        <f t="shared" ref="F10:F13" si="0">B10+C10+D10+E10</f>
        <v>95</v>
      </c>
      <c r="H10" s="2">
        <v>18000000</v>
      </c>
      <c r="I10" s="35">
        <f t="shared" ref="I10:I13" si="1">(12000000/H10)*100</f>
        <v>66.666666666666657</v>
      </c>
    </row>
    <row r="11" spans="1:9" ht="25.5" customHeight="1" thickBot="1" x14ac:dyDescent="0.35">
      <c r="A11" s="8" t="s">
        <v>36</v>
      </c>
      <c r="B11" s="2">
        <v>18</v>
      </c>
      <c r="C11" s="2">
        <v>25</v>
      </c>
      <c r="D11" s="2">
        <v>18</v>
      </c>
      <c r="E11" s="2">
        <v>18</v>
      </c>
      <c r="F11" s="5">
        <f t="shared" si="0"/>
        <v>79</v>
      </c>
      <c r="H11" s="2">
        <v>12000000</v>
      </c>
      <c r="I11" s="35">
        <f t="shared" si="1"/>
        <v>100</v>
      </c>
    </row>
    <row r="12" spans="1:9" ht="25.5" customHeight="1" thickBot="1" x14ac:dyDescent="0.35">
      <c r="A12" s="8" t="s">
        <v>37</v>
      </c>
      <c r="B12" s="2">
        <v>16</v>
      </c>
      <c r="C12" s="2">
        <v>20</v>
      </c>
      <c r="D12" s="2">
        <v>16</v>
      </c>
      <c r="E12" s="2">
        <v>16</v>
      </c>
      <c r="F12" s="5">
        <f t="shared" si="0"/>
        <v>68</v>
      </c>
      <c r="H12" s="2">
        <v>16000000</v>
      </c>
      <c r="I12" s="35">
        <f t="shared" si="1"/>
        <v>75</v>
      </c>
    </row>
    <row r="13" spans="1:9" ht="25.5" customHeight="1" thickBot="1" x14ac:dyDescent="0.35">
      <c r="A13" s="8" t="s">
        <v>38</v>
      </c>
      <c r="B13" s="2">
        <v>25</v>
      </c>
      <c r="C13" s="2">
        <v>15</v>
      </c>
      <c r="D13" s="2">
        <v>15</v>
      </c>
      <c r="E13" s="2">
        <v>20</v>
      </c>
      <c r="F13" s="5">
        <f t="shared" si="0"/>
        <v>75</v>
      </c>
      <c r="H13" s="2">
        <v>15000000</v>
      </c>
      <c r="I13" s="35">
        <f t="shared" si="1"/>
        <v>80</v>
      </c>
    </row>
    <row r="14" spans="1:9" x14ac:dyDescent="0.3">
      <c r="B14" s="4"/>
      <c r="C14" s="4"/>
      <c r="D14" s="4"/>
      <c r="E14" s="4"/>
      <c r="F14" s="4"/>
      <c r="H14" s="4"/>
      <c r="I14" s="4"/>
    </row>
    <row r="17" spans="1:9" ht="15.6" x14ac:dyDescent="0.35">
      <c r="A17" s="51" t="s">
        <v>13</v>
      </c>
      <c r="B17" s="51"/>
      <c r="C17" s="60"/>
      <c r="E17" s="61" t="s">
        <v>18</v>
      </c>
      <c r="F17" s="62"/>
      <c r="G17" s="62"/>
      <c r="H17" s="62"/>
      <c r="I17" s="63"/>
    </row>
    <row r="18" spans="1:9" ht="15" x14ac:dyDescent="0.35">
      <c r="A18" s="1" t="s">
        <v>0</v>
      </c>
      <c r="B18" s="3" t="s">
        <v>2</v>
      </c>
      <c r="C18" s="3" t="s">
        <v>3</v>
      </c>
      <c r="E18" s="3" t="s">
        <v>15</v>
      </c>
      <c r="F18" s="3" t="s">
        <v>16</v>
      </c>
      <c r="G18" s="3" t="s">
        <v>17</v>
      </c>
      <c r="H18" s="3" t="s">
        <v>9</v>
      </c>
      <c r="I18" s="3" t="s">
        <v>14</v>
      </c>
    </row>
    <row r="19" spans="1:9" ht="25.5" customHeight="1" thickBot="1" x14ac:dyDescent="0.35">
      <c r="A19" s="8" t="s">
        <v>32</v>
      </c>
      <c r="B19" s="2">
        <v>5</v>
      </c>
      <c r="C19" s="33">
        <f>(4.2/B19)*100</f>
        <v>84.000000000000014</v>
      </c>
      <c r="D19" s="14"/>
      <c r="E19" s="33">
        <f>F9</f>
        <v>95</v>
      </c>
      <c r="F19" s="35">
        <f>I9</f>
        <v>66.666666666666657</v>
      </c>
      <c r="G19" s="36">
        <f t="shared" ref="G19:G23" si="2">C19</f>
        <v>84.000000000000014</v>
      </c>
      <c r="H19" s="35">
        <f>0.7*E19+0.2*F19+0.1*G19</f>
        <v>88.233333333333334</v>
      </c>
      <c r="I19" s="37">
        <v>1</v>
      </c>
    </row>
    <row r="20" spans="1:9" ht="25.5" customHeight="1" thickBot="1" x14ac:dyDescent="0.35">
      <c r="A20" s="8" t="s">
        <v>33</v>
      </c>
      <c r="B20" s="2">
        <v>5</v>
      </c>
      <c r="C20" s="33">
        <f t="shared" ref="C20:C23" si="3">(4.2/B20)*100</f>
        <v>84.000000000000014</v>
      </c>
      <c r="D20" s="15"/>
      <c r="E20" s="33">
        <f>F10</f>
        <v>95</v>
      </c>
      <c r="F20" s="35">
        <f>I10</f>
        <v>66.666666666666657</v>
      </c>
      <c r="G20" s="36">
        <f t="shared" si="2"/>
        <v>84.000000000000014</v>
      </c>
      <c r="H20" s="35">
        <f t="shared" ref="H20:H23" si="4">0.7*E20+0.2*F20+0.1*G20</f>
        <v>88.233333333333334</v>
      </c>
      <c r="I20" s="37">
        <v>1</v>
      </c>
    </row>
    <row r="21" spans="1:9" ht="25.5" customHeight="1" thickBot="1" x14ac:dyDescent="0.35">
      <c r="A21" s="8" t="s">
        <v>36</v>
      </c>
      <c r="B21" s="2">
        <v>4.2</v>
      </c>
      <c r="C21" s="33">
        <f t="shared" si="3"/>
        <v>100</v>
      </c>
      <c r="D21" s="15"/>
      <c r="E21" s="33">
        <f>F11</f>
        <v>79</v>
      </c>
      <c r="F21" s="35">
        <f>I11</f>
        <v>100</v>
      </c>
      <c r="G21" s="36">
        <f t="shared" si="2"/>
        <v>100</v>
      </c>
      <c r="H21" s="35">
        <f t="shared" si="4"/>
        <v>85.3</v>
      </c>
      <c r="I21" s="37">
        <v>3</v>
      </c>
    </row>
    <row r="22" spans="1:9" ht="25.5" customHeight="1" thickBot="1" x14ac:dyDescent="0.35">
      <c r="A22" s="8" t="s">
        <v>37</v>
      </c>
      <c r="B22" s="2">
        <v>4.5999999999999996</v>
      </c>
      <c r="C22" s="33">
        <f t="shared" si="3"/>
        <v>91.304347826086968</v>
      </c>
      <c r="D22" s="15"/>
      <c r="E22" s="33">
        <f>F12</f>
        <v>68</v>
      </c>
      <c r="F22" s="35">
        <f>I12</f>
        <v>75</v>
      </c>
      <c r="G22" s="33">
        <f t="shared" si="2"/>
        <v>91.304347826086968</v>
      </c>
      <c r="H22" s="35">
        <f t="shared" si="4"/>
        <v>71.730434782608697</v>
      </c>
      <c r="I22" s="37">
        <v>5</v>
      </c>
    </row>
    <row r="23" spans="1:9" ht="25.5" customHeight="1" thickBot="1" x14ac:dyDescent="0.35">
      <c r="A23" s="8" t="s">
        <v>38</v>
      </c>
      <c r="B23" s="2">
        <v>4.2</v>
      </c>
      <c r="C23" s="33">
        <f t="shared" si="3"/>
        <v>100</v>
      </c>
      <c r="D23" s="16"/>
      <c r="E23" s="33">
        <f>F13</f>
        <v>75</v>
      </c>
      <c r="F23" s="35">
        <f>I13</f>
        <v>80</v>
      </c>
      <c r="G23" s="36">
        <f t="shared" si="2"/>
        <v>100</v>
      </c>
      <c r="H23" s="35">
        <f t="shared" si="4"/>
        <v>78.5</v>
      </c>
      <c r="I23" s="37">
        <v>4</v>
      </c>
    </row>
    <row r="25" spans="1:9" ht="15" customHeight="1" x14ac:dyDescent="0.3">
      <c r="A25" s="58" t="s">
        <v>58</v>
      </c>
      <c r="B25" s="59"/>
      <c r="C25" s="59"/>
      <c r="D25" s="59"/>
      <c r="E25" s="59"/>
      <c r="F25" s="59"/>
      <c r="G25" s="59"/>
      <c r="H25" s="59"/>
      <c r="I25" s="59"/>
    </row>
    <row r="26" spans="1:9" x14ac:dyDescent="0.3">
      <c r="A26" s="59"/>
      <c r="B26" s="59"/>
      <c r="C26" s="59"/>
      <c r="D26" s="59"/>
      <c r="E26" s="59"/>
      <c r="F26" s="59"/>
      <c r="G26" s="59"/>
      <c r="H26" s="59"/>
      <c r="I26" s="59"/>
    </row>
    <row r="27" spans="1:9" x14ac:dyDescent="0.3">
      <c r="A27" s="59"/>
      <c r="B27" s="59"/>
      <c r="C27" s="59"/>
      <c r="D27" s="59"/>
      <c r="E27" s="59"/>
      <c r="F27" s="59"/>
      <c r="G27" s="59"/>
      <c r="H27" s="59"/>
      <c r="I27" s="59"/>
    </row>
    <row r="28" spans="1:9" x14ac:dyDescent="0.3">
      <c r="A28" s="59"/>
      <c r="B28" s="59"/>
      <c r="C28" s="59"/>
      <c r="D28" s="59"/>
      <c r="E28" s="59"/>
      <c r="F28" s="59"/>
      <c r="G28" s="59"/>
      <c r="H28" s="59"/>
      <c r="I28" s="59"/>
    </row>
    <row r="29" spans="1:9" x14ac:dyDescent="0.3">
      <c r="A29" s="59"/>
      <c r="B29" s="59"/>
      <c r="C29" s="59"/>
      <c r="D29" s="59"/>
      <c r="E29" s="59"/>
      <c r="F29" s="59"/>
      <c r="G29" s="59"/>
      <c r="H29" s="59"/>
      <c r="I29" s="59"/>
    </row>
    <row r="30" spans="1:9" x14ac:dyDescent="0.3">
      <c r="A30" s="59"/>
      <c r="B30" s="59"/>
      <c r="C30" s="59"/>
      <c r="D30" s="59"/>
      <c r="E30" s="59"/>
      <c r="F30" s="59"/>
      <c r="G30" s="59"/>
      <c r="H30" s="59"/>
      <c r="I30" s="59"/>
    </row>
  </sheetData>
  <mergeCells count="7">
    <mergeCell ref="A3:I3"/>
    <mergeCell ref="A25:I30"/>
    <mergeCell ref="A7:F7"/>
    <mergeCell ref="H7:I7"/>
    <mergeCell ref="A17:C17"/>
    <mergeCell ref="E17:I17"/>
    <mergeCell ref="A5:E5"/>
  </mergeCells>
  <pageMargins left="0.78740157480314965" right="0" top="0" bottom="0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 &amp; ES</vt:lpstr>
      <vt:lpstr>EXERCICE 1</vt:lpstr>
      <vt:lpstr>EXERCICE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ECS</dc:creator>
  <cp:lastModifiedBy>bouabid salim</cp:lastModifiedBy>
  <cp:lastPrinted>2013-12-18T10:21:28Z</cp:lastPrinted>
  <dcterms:created xsi:type="dcterms:W3CDTF">2013-12-05T10:22:32Z</dcterms:created>
  <dcterms:modified xsi:type="dcterms:W3CDTF">2024-02-11T19:07:19Z</dcterms:modified>
</cp:coreProperties>
</file>